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<sst xmlns="http://schemas.openxmlformats.org/spreadsheetml/2006/main" count="15" uniqueCount="15">
  <si>
    <t>Дата</t>
  </si>
  <si>
    <t>Посетители</t>
  </si>
  <si>
    <t>Авторизованные
 пользователи</t>
  </si>
  <si>
    <t>Покупатели</t>
  </si>
  <si>
    <t>Выручка, руб</t>
  </si>
  <si>
    <t>Количество
покупок</t>
  </si>
  <si>
    <t>Количество
возвратов</t>
  </si>
  <si>
    <t>Всего покупок</t>
  </si>
  <si>
    <t>Средний чек на
покупателя</t>
  </si>
  <si>
    <t>Средний чек на
успешную покупку</t>
  </si>
  <si>
    <t>Конверсия из посетителя 
в авторизацию</t>
  </si>
  <si>
    <t>Конверсия из авторизации 
в покупателя</t>
  </si>
  <si>
    <t>Конверсия из посетителя
в покупателя</t>
  </si>
  <si>
    <t>дано</t>
  </si>
  <si>
    <t>нужно заполнить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</si>
</sst>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m.dd"/>
    <numFmt numFmtId="165" formatCode="#,##0[$₽]"/>
  </numFmts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164" xfId="0" applyFont="1" applyNumberFormat="1"/>
    <xf borderId="0" fillId="2" fontId="2" numFmtId="0" xfId="0" applyFont="1"/>
    <xf borderId="0" fillId="2" fontId="2" numFmtId="165" xfId="0" applyFont="1" applyNumberFormat="1"/>
    <xf borderId="0" fillId="3" fontId="2" numFmtId="0" xfId="0" applyFill="1" applyFont="1"/>
    <xf borderId="0" fillId="3" fontId="2" numFmtId="10" xfId="0" applyFont="1" applyNumberFormat="1"/>
    <xf borderId="0" fillId="0" fontId="2" numFmtId="4" xfId="0" applyFont="1" applyNumberFormat="1"/>
    <xf borderId="0" fillId="0" fontId="2" numFmtId="10" xfId="0" applyFont="1" applyNumberFormat="1"/>
    <xf borderId="0" fillId="0" fontId="2" numFmtId="164" xfId="0" applyFont="1" applyNumberForma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0"/>
    <col customWidth="1" min="2" max="2" width="12.63"/>
    <col customWidth="1" min="3" max="3" width="15.38"/>
    <col customWidth="1" min="4" max="6" width="12.63"/>
    <col customWidth="1" min="9" max="9" width="14.75"/>
    <col customWidth="1" min="10" max="10" width="16.5"/>
    <col customWidth="1" min="11" max="11" width="23.25"/>
    <col customWidth="1" min="12" max="12" width="23.88"/>
    <col customWidth="1" min="13" max="13" width="22.1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2">
        <v>45170.0</v>
      </c>
      <c r="B2" s="3">
        <v>12000.0</v>
      </c>
      <c r="C2" s="3">
        <v>5897.0</v>
      </c>
      <c r="D2" s="3">
        <v>561.0</v>
      </c>
      <c r="E2" s="4">
        <v>1208000.0</v>
      </c>
      <c r="F2" s="3">
        <v>666.0</v>
      </c>
      <c r="G2" s="3">
        <v>12.0</v>
      </c>
      <c r="H2" s="5">
        <f t="shared" ref="H2:H17" si="2">F2-G2</f>
        <v>654</v>
      </c>
      <c r="I2" s="5">
        <f t="shared" ref="I2:I17" si="3">E2/H2</f>
        <v>1847.094801</v>
      </c>
      <c r="J2" s="5">
        <f t="shared" ref="J2:J17" si="4">E2/(F2-G2)</f>
        <v>1847.094801</v>
      </c>
      <c r="K2" s="6">
        <f t="shared" ref="K2:L2" si="1">C2/B2</f>
        <v>0.4914166667</v>
      </c>
      <c r="L2" s="6">
        <f t="shared" si="1"/>
        <v>0.09513311853</v>
      </c>
      <c r="M2" s="6">
        <f t="shared" ref="M2:M17" si="6">D2/B2</f>
        <v>0.04675</v>
      </c>
    </row>
    <row r="3" ht="15.75" customHeight="1">
      <c r="A3" s="2">
        <v>45171.0</v>
      </c>
      <c r="B3" s="3">
        <v>12500.0</v>
      </c>
      <c r="C3" s="3">
        <v>6011.0</v>
      </c>
      <c r="D3" s="3">
        <v>599.0</v>
      </c>
      <c r="E3" s="4">
        <v>1348000.0</v>
      </c>
      <c r="F3" s="3">
        <v>692.0</v>
      </c>
      <c r="G3" s="3">
        <v>10.0</v>
      </c>
      <c r="H3" s="5">
        <f t="shared" si="2"/>
        <v>682</v>
      </c>
      <c r="I3" s="5">
        <f t="shared" si="3"/>
        <v>1976.539589</v>
      </c>
      <c r="J3" s="5">
        <f t="shared" si="4"/>
        <v>1976.539589</v>
      </c>
      <c r="K3" s="6">
        <f t="shared" ref="K3:L3" si="5">C3/B3</f>
        <v>0.48088</v>
      </c>
      <c r="L3" s="6">
        <f t="shared" si="5"/>
        <v>0.09965064049</v>
      </c>
      <c r="M3" s="6">
        <f t="shared" si="6"/>
        <v>0.04792</v>
      </c>
    </row>
    <row r="4" ht="15.75" customHeight="1">
      <c r="A4" s="2">
        <v>45172.0</v>
      </c>
      <c r="B4" s="3">
        <v>12321.0</v>
      </c>
      <c r="C4" s="3">
        <v>6532.0</v>
      </c>
      <c r="D4" s="3">
        <v>672.0</v>
      </c>
      <c r="E4" s="4">
        <v>1511000.0</v>
      </c>
      <c r="F4" s="3">
        <v>731.0</v>
      </c>
      <c r="G4" s="3">
        <v>8.0</v>
      </c>
      <c r="H4" s="5">
        <f t="shared" si="2"/>
        <v>723</v>
      </c>
      <c r="I4" s="5">
        <f t="shared" si="3"/>
        <v>2089.903181</v>
      </c>
      <c r="J4" s="5">
        <f t="shared" si="4"/>
        <v>2089.903181</v>
      </c>
      <c r="K4" s="6">
        <f t="shared" ref="K4:L4" si="7">C4/B4</f>
        <v>0.5301517734</v>
      </c>
      <c r="L4" s="6">
        <f t="shared" si="7"/>
        <v>0.1028781384</v>
      </c>
      <c r="M4" s="6">
        <f t="shared" si="6"/>
        <v>0.05454102751</v>
      </c>
    </row>
    <row r="5" ht="15.75" customHeight="1">
      <c r="A5" s="2">
        <v>45173.0</v>
      </c>
      <c r="B5" s="3">
        <v>11544.0</v>
      </c>
      <c r="C5" s="3">
        <v>5972.0</v>
      </c>
      <c r="D5" s="3">
        <v>584.0</v>
      </c>
      <c r="E5" s="4">
        <v>1265000.0</v>
      </c>
      <c r="F5" s="3">
        <v>638.0</v>
      </c>
      <c r="G5" s="3">
        <v>7.0</v>
      </c>
      <c r="H5" s="5">
        <f t="shared" si="2"/>
        <v>631</v>
      </c>
      <c r="I5" s="5">
        <f t="shared" si="3"/>
        <v>2004.754358</v>
      </c>
      <c r="J5" s="5">
        <f t="shared" si="4"/>
        <v>2004.754358</v>
      </c>
      <c r="K5" s="6">
        <f t="shared" ref="K5:L5" si="8">C5/B5</f>
        <v>0.5173250173</v>
      </c>
      <c r="L5" s="6">
        <f t="shared" si="8"/>
        <v>0.0977896852</v>
      </c>
      <c r="M5" s="6">
        <f t="shared" si="6"/>
        <v>0.05058905059</v>
      </c>
    </row>
    <row r="6" ht="15.75" customHeight="1">
      <c r="A6" s="2">
        <v>45174.0</v>
      </c>
      <c r="B6" s="3">
        <v>16812.0</v>
      </c>
      <c r="C6" s="3">
        <v>8653.0</v>
      </c>
      <c r="D6" s="3">
        <v>903.0</v>
      </c>
      <c r="E6" s="4">
        <v>2045000.0</v>
      </c>
      <c r="F6" s="3">
        <v>1000.0</v>
      </c>
      <c r="G6" s="3">
        <v>24.0</v>
      </c>
      <c r="H6" s="5">
        <f t="shared" si="2"/>
        <v>976</v>
      </c>
      <c r="I6" s="5">
        <f t="shared" si="3"/>
        <v>2095.286885</v>
      </c>
      <c r="J6" s="5">
        <f t="shared" si="4"/>
        <v>2095.286885</v>
      </c>
      <c r="K6" s="6">
        <f t="shared" ref="K6:L6" si="9">C6/B6</f>
        <v>0.5146918867</v>
      </c>
      <c r="L6" s="6">
        <f t="shared" si="9"/>
        <v>0.1043568704</v>
      </c>
      <c r="M6" s="6">
        <f t="shared" si="6"/>
        <v>0.05371163455</v>
      </c>
    </row>
    <row r="7" ht="15.75" customHeight="1">
      <c r="A7" s="2">
        <v>45175.0</v>
      </c>
      <c r="B7" s="3">
        <v>11423.0</v>
      </c>
      <c r="C7" s="3">
        <v>5783.0</v>
      </c>
      <c r="D7" s="3">
        <v>585.0</v>
      </c>
      <c r="E7" s="4">
        <v>1278000.0</v>
      </c>
      <c r="F7" s="3">
        <v>609.0</v>
      </c>
      <c r="G7" s="3">
        <v>6.0</v>
      </c>
      <c r="H7" s="5">
        <f t="shared" si="2"/>
        <v>603</v>
      </c>
      <c r="I7" s="5">
        <f t="shared" si="3"/>
        <v>2119.402985</v>
      </c>
      <c r="J7" s="5">
        <f t="shared" si="4"/>
        <v>2119.402985</v>
      </c>
      <c r="K7" s="6">
        <f t="shared" ref="K7:L7" si="10">C7/B7</f>
        <v>0.5062593014</v>
      </c>
      <c r="L7" s="6">
        <f t="shared" si="10"/>
        <v>0.1011585682</v>
      </c>
      <c r="M7" s="6">
        <f t="shared" si="6"/>
        <v>0.05121246608</v>
      </c>
    </row>
    <row r="8" ht="15.75" customHeight="1">
      <c r="A8" s="2">
        <v>45176.0</v>
      </c>
      <c r="B8" s="3">
        <v>12784.0</v>
      </c>
      <c r="C8" s="3">
        <v>6753.0</v>
      </c>
      <c r="D8" s="3">
        <v>712.0</v>
      </c>
      <c r="E8" s="4">
        <v>1650000.0</v>
      </c>
      <c r="F8" s="3">
        <v>812.0</v>
      </c>
      <c r="G8" s="3">
        <v>9.0</v>
      </c>
      <c r="H8" s="5">
        <f t="shared" si="2"/>
        <v>803</v>
      </c>
      <c r="I8" s="5">
        <f t="shared" si="3"/>
        <v>2054.794521</v>
      </c>
      <c r="J8" s="5">
        <f t="shared" si="4"/>
        <v>2054.794521</v>
      </c>
      <c r="K8" s="6">
        <f t="shared" ref="K8:L8" si="11">C8/B8</f>
        <v>0.528238423</v>
      </c>
      <c r="L8" s="6">
        <f t="shared" si="11"/>
        <v>0.1054346216</v>
      </c>
      <c r="M8" s="6">
        <f t="shared" si="6"/>
        <v>0.05569461827</v>
      </c>
    </row>
    <row r="9" ht="15.75" customHeight="1">
      <c r="A9" s="2">
        <v>45177.0</v>
      </c>
      <c r="B9" s="3">
        <v>10890.0</v>
      </c>
      <c r="C9" s="3">
        <v>5439.0</v>
      </c>
      <c r="D9" s="3">
        <v>538.0</v>
      </c>
      <c r="E9" s="4">
        <v>1301000.0</v>
      </c>
      <c r="F9" s="3">
        <v>587.0</v>
      </c>
      <c r="G9" s="3">
        <v>5.0</v>
      </c>
      <c r="H9" s="5">
        <f t="shared" si="2"/>
        <v>582</v>
      </c>
      <c r="I9" s="5">
        <f t="shared" si="3"/>
        <v>2235.395189</v>
      </c>
      <c r="J9" s="5">
        <f t="shared" si="4"/>
        <v>2235.395189</v>
      </c>
      <c r="K9" s="6">
        <f t="shared" ref="K9:L9" si="12">C9/B9</f>
        <v>0.4994490358</v>
      </c>
      <c r="L9" s="6">
        <f t="shared" si="12"/>
        <v>0.09891524177</v>
      </c>
      <c r="M9" s="6">
        <f t="shared" si="6"/>
        <v>0.04940312213</v>
      </c>
    </row>
    <row r="10" ht="15.75" customHeight="1">
      <c r="A10" s="2">
        <v>45178.0</v>
      </c>
      <c r="B10" s="3">
        <v>12658.0</v>
      </c>
      <c r="C10" s="3">
        <v>6703.0</v>
      </c>
      <c r="D10" s="3">
        <v>678.0</v>
      </c>
      <c r="E10" s="4">
        <v>1467000.0</v>
      </c>
      <c r="F10" s="3">
        <v>745.0</v>
      </c>
      <c r="G10" s="3">
        <v>10.0</v>
      </c>
      <c r="H10" s="5">
        <f t="shared" si="2"/>
        <v>735</v>
      </c>
      <c r="I10" s="5">
        <f t="shared" si="3"/>
        <v>1995.918367</v>
      </c>
      <c r="J10" s="5">
        <f t="shared" si="4"/>
        <v>1995.918367</v>
      </c>
      <c r="K10" s="6">
        <f t="shared" ref="K10:L10" si="13">C10/B10</f>
        <v>0.5295465318</v>
      </c>
      <c r="L10" s="6">
        <f t="shared" si="13"/>
        <v>0.1011487394</v>
      </c>
      <c r="M10" s="6">
        <f t="shared" si="6"/>
        <v>0.05356296413</v>
      </c>
    </row>
    <row r="11" ht="15.75" customHeight="1">
      <c r="A11" s="2">
        <v>45179.0</v>
      </c>
      <c r="B11" s="3">
        <v>15925.0</v>
      </c>
      <c r="C11" s="3">
        <v>8325.0</v>
      </c>
      <c r="D11" s="3">
        <v>857.0</v>
      </c>
      <c r="E11" s="4">
        <v>1702000.0</v>
      </c>
      <c r="F11" s="3">
        <v>901.0</v>
      </c>
      <c r="G11" s="3">
        <v>16.0</v>
      </c>
      <c r="H11" s="5">
        <f t="shared" si="2"/>
        <v>885</v>
      </c>
      <c r="I11" s="5">
        <f t="shared" si="3"/>
        <v>1923.163842</v>
      </c>
      <c r="J11" s="5">
        <f t="shared" si="4"/>
        <v>1923.163842</v>
      </c>
      <c r="K11" s="6">
        <f t="shared" ref="K11:L11" si="14">C11/B11</f>
        <v>0.5227629513</v>
      </c>
      <c r="L11" s="6">
        <f t="shared" si="14"/>
        <v>0.1029429429</v>
      </c>
      <c r="M11" s="6">
        <f t="shared" si="6"/>
        <v>0.05381475667</v>
      </c>
    </row>
    <row r="12" ht="15.75" customHeight="1">
      <c r="A12" s="2">
        <v>45180.0</v>
      </c>
      <c r="B12" s="3">
        <v>15738.0</v>
      </c>
      <c r="C12" s="3">
        <v>8524.0</v>
      </c>
      <c r="D12" s="3">
        <v>844.0</v>
      </c>
      <c r="E12" s="4">
        <v>1684000.0</v>
      </c>
      <c r="F12" s="3">
        <v>886.0</v>
      </c>
      <c r="G12" s="3">
        <v>12.0</v>
      </c>
      <c r="H12" s="5">
        <f t="shared" si="2"/>
        <v>874</v>
      </c>
      <c r="I12" s="5">
        <f t="shared" si="3"/>
        <v>1926.773455</v>
      </c>
      <c r="J12" s="5">
        <f t="shared" si="4"/>
        <v>1926.773455</v>
      </c>
      <c r="K12" s="6">
        <f t="shared" ref="K12:L12" si="15">C12/B12</f>
        <v>0.5416190113</v>
      </c>
      <c r="L12" s="6">
        <f t="shared" si="15"/>
        <v>0.09901454716</v>
      </c>
      <c r="M12" s="6">
        <f t="shared" si="6"/>
        <v>0.05362816114</v>
      </c>
    </row>
    <row r="13" ht="15.75" customHeight="1">
      <c r="A13" s="2">
        <v>45181.0</v>
      </c>
      <c r="B13" s="3">
        <v>12455.0</v>
      </c>
      <c r="C13" s="3">
        <v>6635.0</v>
      </c>
      <c r="D13" s="3">
        <v>649.0</v>
      </c>
      <c r="E13" s="4">
        <v>1398000.0</v>
      </c>
      <c r="F13" s="3">
        <v>697.0</v>
      </c>
      <c r="G13" s="3">
        <v>9.0</v>
      </c>
      <c r="H13" s="5">
        <f t="shared" si="2"/>
        <v>688</v>
      </c>
      <c r="I13" s="5">
        <f t="shared" si="3"/>
        <v>2031.976744</v>
      </c>
      <c r="J13" s="5">
        <f t="shared" si="4"/>
        <v>2031.976744</v>
      </c>
      <c r="K13" s="6">
        <f t="shared" ref="K13:L13" si="16">C13/B13</f>
        <v>0.532717784</v>
      </c>
      <c r="L13" s="6">
        <f t="shared" si="16"/>
        <v>0.09781461944</v>
      </c>
      <c r="M13" s="6">
        <f t="shared" si="6"/>
        <v>0.05210758731</v>
      </c>
    </row>
    <row r="14" ht="15.75" customHeight="1">
      <c r="A14" s="2">
        <v>45182.0</v>
      </c>
      <c r="B14" s="3">
        <v>14235.0</v>
      </c>
      <c r="C14" s="3">
        <v>7624.0</v>
      </c>
      <c r="D14" s="3">
        <v>768.0</v>
      </c>
      <c r="E14" s="4">
        <v>1699000.0</v>
      </c>
      <c r="F14" s="3">
        <v>805.0</v>
      </c>
      <c r="G14" s="3">
        <v>10.0</v>
      </c>
      <c r="H14" s="5">
        <f t="shared" si="2"/>
        <v>795</v>
      </c>
      <c r="I14" s="5">
        <f t="shared" si="3"/>
        <v>2137.106918</v>
      </c>
      <c r="J14" s="5">
        <f t="shared" si="4"/>
        <v>2137.106918</v>
      </c>
      <c r="K14" s="6">
        <f t="shared" ref="K14:L14" si="17">C14/B14</f>
        <v>0.5355813137</v>
      </c>
      <c r="L14" s="6">
        <f t="shared" si="17"/>
        <v>0.1007345226</v>
      </c>
      <c r="M14" s="6">
        <f t="shared" si="6"/>
        <v>0.05395152792</v>
      </c>
    </row>
    <row r="15" ht="15.75" customHeight="1">
      <c r="A15" s="2">
        <v>45183.0</v>
      </c>
      <c r="B15" s="3">
        <v>13565.0</v>
      </c>
      <c r="C15" s="3">
        <v>6990.0</v>
      </c>
      <c r="D15" s="3">
        <v>701.0</v>
      </c>
      <c r="E15" s="4">
        <v>1632000.0</v>
      </c>
      <c r="F15" s="3">
        <v>753.0</v>
      </c>
      <c r="G15" s="3">
        <v>8.0</v>
      </c>
      <c r="H15" s="5">
        <f t="shared" si="2"/>
        <v>745</v>
      </c>
      <c r="I15" s="5">
        <f t="shared" si="3"/>
        <v>2190.604027</v>
      </c>
      <c r="J15" s="5">
        <f t="shared" si="4"/>
        <v>2190.604027</v>
      </c>
      <c r="K15" s="6">
        <f t="shared" ref="K15:L15" si="18">C15/B15</f>
        <v>0.5152967195</v>
      </c>
      <c r="L15" s="6">
        <f t="shared" si="18"/>
        <v>0.100286123</v>
      </c>
      <c r="M15" s="6">
        <f t="shared" si="6"/>
        <v>0.05167711021</v>
      </c>
    </row>
    <row r="16" ht="15.75" customHeight="1">
      <c r="A16" s="2">
        <v>45184.0</v>
      </c>
      <c r="B16" s="3">
        <v>14524.0</v>
      </c>
      <c r="C16" s="3">
        <v>7351.0</v>
      </c>
      <c r="D16" s="3">
        <v>754.0</v>
      </c>
      <c r="E16" s="4">
        <v>1664000.0</v>
      </c>
      <c r="F16" s="3">
        <v>787.0</v>
      </c>
      <c r="G16" s="3">
        <v>14.0</v>
      </c>
      <c r="H16" s="5">
        <f t="shared" si="2"/>
        <v>773</v>
      </c>
      <c r="I16" s="5">
        <f t="shared" si="3"/>
        <v>2152.652005</v>
      </c>
      <c r="J16" s="5">
        <f t="shared" si="4"/>
        <v>2152.652005</v>
      </c>
      <c r="K16" s="6">
        <f t="shared" ref="K16:L16" si="19">C16/B16</f>
        <v>0.5061277885</v>
      </c>
      <c r="L16" s="6">
        <f t="shared" si="19"/>
        <v>0.1025710788</v>
      </c>
      <c r="M16" s="6">
        <f t="shared" si="6"/>
        <v>0.05191407326</v>
      </c>
      <c r="N16" s="7"/>
    </row>
    <row r="17" ht="15.75" customHeight="1">
      <c r="A17" s="2">
        <v>45185.0</v>
      </c>
      <c r="B17" s="3">
        <v>14781.0</v>
      </c>
      <c r="C17" s="3">
        <v>8025.0</v>
      </c>
      <c r="D17" s="3">
        <v>795.0</v>
      </c>
      <c r="E17" s="4">
        <v>1725000.0</v>
      </c>
      <c r="F17" s="3">
        <v>832.0</v>
      </c>
      <c r="G17" s="3">
        <v>11.0</v>
      </c>
      <c r="H17" s="5">
        <f t="shared" si="2"/>
        <v>821</v>
      </c>
      <c r="I17" s="5">
        <f t="shared" si="3"/>
        <v>2101.096224</v>
      </c>
      <c r="J17" s="5">
        <f t="shared" si="4"/>
        <v>2101.096224</v>
      </c>
      <c r="K17" s="6">
        <f t="shared" ref="K17:L17" si="20">C17/B17</f>
        <v>0.5429267303</v>
      </c>
      <c r="L17" s="6">
        <f t="shared" si="20"/>
        <v>0.09906542056</v>
      </c>
      <c r="M17" s="6">
        <f t="shared" si="6"/>
        <v>0.05378526487</v>
      </c>
    </row>
    <row r="18" ht="15.75" customHeight="1">
      <c r="H18" s="8"/>
    </row>
    <row r="19" ht="15.75" customHeight="1"/>
    <row r="20" ht="15.75" customHeight="1">
      <c r="A20" s="3" t="s">
        <v>13</v>
      </c>
      <c r="K20" s="8"/>
    </row>
    <row r="21" ht="15.75" customHeight="1">
      <c r="A21" s="5" t="s">
        <v>14</v>
      </c>
    </row>
    <row r="22" ht="15.75" customHeight="1">
      <c r="J22" s="8"/>
    </row>
    <row r="23" ht="15.75" customHeight="1">
      <c r="B23" s="9"/>
    </row>
    <row r="24" ht="15.75" customHeight="1"/>
    <row r="25" ht="15.75" customHeight="1">
      <c r="B25" s="9"/>
    </row>
    <row r="26" ht="15.75" customHeight="1"/>
    <row r="27" ht="15.75" customHeight="1"/>
    <row r="28" ht="15.75" customHeight="1"/>
    <row r="29" ht="15.75" customHeight="1"/>
    <row r="30" ht="15.75" customHeight="1">
      <c r="B30" s="10"/>
      <c r="C30" s="10"/>
    </row>
    <row r="31" ht="15.75" customHeight="1"/>
    <row r="32" ht="15.75" customHeight="1"/>
    <row r="33" ht="15.75" customHeight="1">
      <c r="B33" s="8"/>
    </row>
    <row r="34" ht="15.75" customHeight="1"/>
    <row r="35" ht="15.75" customHeight="1"/>
    <row r="36" ht="15.75" customHeight="1">
      <c r="B36" s="8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2:E22"/>
    <mergeCell ref="B24:F24"/>
    <mergeCell ref="B34:F34"/>
  </mergeCells>
  <drawing r:id="rId1"/>
</worksheet>
</file>